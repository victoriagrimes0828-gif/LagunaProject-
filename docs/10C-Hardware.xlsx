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C Hardware" sheetId="1" state="visible" r:id="rId3"/>
  </sheets>
  <definedNames>
    <definedName function="false" hidden="true" localSheetId="0" name="_xlnm._FilterDatabase" vbProcedure="false">'10C Hardware'!$A$4:$L$12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Sizing to be determined by Rich (per Victoria).</t>
        </r>
      </text>
    </comment>
  </commentList>
</comments>
</file>

<file path=xl/sharedStrings.xml><?xml version="1.0" encoding="utf-8"?>
<sst xmlns="http://schemas.openxmlformats.org/spreadsheetml/2006/main" count="81" uniqueCount="44">
  <si>
    <t xml:space="preserve">10C Hardware Selections</t>
  </si>
  <si>
    <t xml:space="preserve">Sizing to be determined by Rich. Yellow cells are to be filled in; Total and Grand Total calculate automatically.</t>
  </si>
  <si>
    <t xml:space="preserve">Room</t>
  </si>
  <si>
    <t xml:space="preserve">Item</t>
  </si>
  <si>
    <t xml:space="preserve">Brand</t>
  </si>
  <si>
    <t xml:space="preserve">Product / Collection</t>
  </si>
  <si>
    <t xml:space="preserve">Finish</t>
  </si>
  <si>
    <t xml:space="preserve">Size (Center-to-Center)</t>
  </si>
  <si>
    <t xml:space="preserve">Qty</t>
  </si>
  <si>
    <t xml:space="preserve">Unit Price</t>
  </si>
  <si>
    <t xml:space="preserve">Total</t>
  </si>
  <si>
    <t xml:space="preserve">Link</t>
  </si>
  <si>
    <t xml:space="preserve">Status</t>
  </si>
  <si>
    <t xml:space="preserve">Notes</t>
  </si>
  <si>
    <t xml:space="preserve">Bathroom 1</t>
  </si>
  <si>
    <t xml:space="preserve">Cabinet Pulls</t>
  </si>
  <si>
    <t xml:space="preserve">Top Knobs</t>
  </si>
  <si>
    <t xml:space="preserve">Riverside Pull</t>
  </si>
  <si>
    <t xml:space="preserve">Per link (finish preselected)</t>
  </si>
  <si>
    <t xml:space="preserve">TBD – Rich</t>
  </si>
  <si>
    <t xml:space="preserve">View product</t>
  </si>
  <si>
    <t xml:space="preserve">Pending</t>
  </si>
  <si>
    <t xml:space="preserve">Bathroom 2</t>
  </si>
  <si>
    <t xml:space="preserve">Morris Pull</t>
  </si>
  <si>
    <t xml:space="preserve">TBD</t>
  </si>
  <si>
    <t xml:space="preserve">Bathroom 3</t>
  </si>
  <si>
    <t xml:space="preserve">Lydia Pull</t>
  </si>
  <si>
    <t xml:space="preserve">Bathroom 5</t>
  </si>
  <si>
    <t xml:space="preserve">Liberty Hardware (Franklin Brass)</t>
  </si>
  <si>
    <t xml:space="preserve">Parow Pull</t>
  </si>
  <si>
    <t xml:space="preserve">Per link (variant preselected)</t>
  </si>
  <si>
    <t xml:space="preserve">Powder Room 1</t>
  </si>
  <si>
    <t xml:space="preserve">Same pull as Bathroom 3</t>
  </si>
  <si>
    <t xml:space="preserve">Powder Room 2</t>
  </si>
  <si>
    <t xml:space="preserve">Liberty Hardware</t>
  </si>
  <si>
    <t xml:space="preserve">Chamfered Slim Bar Pull</t>
  </si>
  <si>
    <t xml:space="preserve">Master Bath</t>
  </si>
  <si>
    <t xml:space="preserve">Amerock</t>
  </si>
  <si>
    <t xml:space="preserve">Pull, 5-1/16" (128mm) centers – BP36655CCZ</t>
  </si>
  <si>
    <t xml:space="preserve">Clear &amp; Champagne Bronze</t>
  </si>
  <si>
    <t xml:space="preserve">Inspiration only – "something like this"</t>
  </si>
  <si>
    <t xml:space="preserve">Kitchen</t>
  </si>
  <si>
    <t xml:space="preserve">Ascendra Pull</t>
  </si>
  <si>
    <t xml:space="preserve">Grand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</si>
</sst>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www.topknobs.com/collections/riverside-pull.html?finish_tk=13594" TargetMode="External"/><Relationship Id="rId3" Type="http://schemas.openxmlformats.org/officeDocument/2006/relationships/hyperlink" Target="https://www.topknobs.com/collections/morris-pull.html" TargetMode="External"/><Relationship Id="rId4" Type="http://schemas.openxmlformats.org/officeDocument/2006/relationships/hyperlink" Target="https://www.topknobs.com/collections/lydia-pull.html" TargetMode="External"/><Relationship Id="rId5" Type="http://schemas.openxmlformats.org/officeDocument/2006/relationships/hyperlink" Target="https://www.libertyhardware.com/products/franklin-brass-parow-pull?variant=50937822740762" TargetMode="External"/><Relationship Id="rId6" Type="http://schemas.openxmlformats.org/officeDocument/2006/relationships/hyperlink" Target="https://www.topknobs.com/collections/lydia-pull.html?finish_tk=13594" TargetMode="External"/><Relationship Id="rId7" Type="http://schemas.openxmlformats.org/officeDocument/2006/relationships/hyperlink" Target="https://www.libertyhardware.com/products/liberty-chamfered-slim-bar-pull?variant=52294951829786" TargetMode="External"/><Relationship Id="rId8" Type="http://schemas.openxmlformats.org/officeDocument/2006/relationships/hyperlink" Target="https://www.myknobs.com/pdp/amebp36654cbbr/amerock-bp36655ccz/amerock-5-1-16-128mm-centers-pull-in-clear-and-champagne-bronze" TargetMode="External"/><Relationship Id="rId9" Type="http://schemas.openxmlformats.org/officeDocument/2006/relationships/hyperlink" Target="https://www.topknobs.com/collections/ascendra-pull.html" TargetMode="External"/><Relationship Id="rId10" Type="http://schemas.openxmlformats.org/officeDocument/2006/relationships/drawing" Target="../drawings/drawing1.xml"/><Relationship Id="rId11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7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s">
        <v>19</v>
      </c>
      <c r="G5" s="5"/>
      <c r="H5" s="6"/>
      <c r="I5" s="7" t="str">
        <f aca="false">IF(OR(G5="",H5=""),"",G5*H5)</f>
        <v/>
      </c>
      <c r="J5" s="8" t="s">
        <v>20</v>
      </c>
      <c r="K5" s="4" t="s">
        <v>21</v>
      </c>
      <c r="L5" s="4"/>
    </row>
    <row r="6" customFormat="false" ht="15" hidden="false" customHeight="false" outlineLevel="0" collapsed="false">
      <c r="A6" s="4" t="s">
        <v>22</v>
      </c>
      <c r="B6" s="4" t="s">
        <v>15</v>
      </c>
      <c r="C6" s="4" t="s">
        <v>16</v>
      </c>
      <c r="D6" s="4" t="s">
        <v>23</v>
      </c>
      <c r="E6" s="5" t="s">
        <v>24</v>
      </c>
      <c r="F6" s="5" t="s">
        <v>19</v>
      </c>
      <c r="G6" s="5"/>
      <c r="H6" s="6"/>
      <c r="I6" s="7" t="str">
        <f aca="false">IF(OR(G6="",H6=""),"",G6*H6)</f>
        <v/>
      </c>
      <c r="J6" s="8" t="s">
        <v>20</v>
      </c>
      <c r="K6" s="4" t="s">
        <v>21</v>
      </c>
      <c r="L6" s="4"/>
    </row>
    <row r="7" customFormat="false" ht="15" hidden="false" customHeight="false" outlineLevel="0" collapsed="false">
      <c r="A7" s="4" t="s">
        <v>25</v>
      </c>
      <c r="B7" s="4" t="s">
        <v>15</v>
      </c>
      <c r="C7" s="4" t="s">
        <v>16</v>
      </c>
      <c r="D7" s="4" t="s">
        <v>26</v>
      </c>
      <c r="E7" s="5" t="s">
        <v>24</v>
      </c>
      <c r="F7" s="5" t="s">
        <v>19</v>
      </c>
      <c r="G7" s="5"/>
      <c r="H7" s="6"/>
      <c r="I7" s="7" t="str">
        <f aca="false">IF(OR(G7="",H7=""),"",G7*H7)</f>
        <v/>
      </c>
      <c r="J7" s="8" t="s">
        <v>20</v>
      </c>
      <c r="K7" s="4" t="s">
        <v>21</v>
      </c>
      <c r="L7" s="4"/>
    </row>
    <row r="8" customFormat="false" ht="23.85" hidden="false" customHeight="false" outlineLevel="0" collapsed="false">
      <c r="A8" s="4" t="s">
        <v>27</v>
      </c>
      <c r="B8" s="4" t="s">
        <v>15</v>
      </c>
      <c r="C8" s="4" t="s">
        <v>28</v>
      </c>
      <c r="D8" s="4" t="s">
        <v>29</v>
      </c>
      <c r="E8" s="4" t="s">
        <v>30</v>
      </c>
      <c r="F8" s="5" t="s">
        <v>19</v>
      </c>
      <c r="G8" s="5"/>
      <c r="H8" s="6"/>
      <c r="I8" s="7" t="str">
        <f aca="false">IF(OR(G8="",H8=""),"",G8*H8)</f>
        <v/>
      </c>
      <c r="J8" s="8" t="s">
        <v>20</v>
      </c>
      <c r="K8" s="4" t="s">
        <v>21</v>
      </c>
      <c r="L8" s="4"/>
    </row>
    <row r="9" customFormat="false" ht="15" hidden="false" customHeight="false" outlineLevel="0" collapsed="false">
      <c r="A9" s="4" t="s">
        <v>31</v>
      </c>
      <c r="B9" s="4" t="s">
        <v>15</v>
      </c>
      <c r="C9" s="4" t="s">
        <v>16</v>
      </c>
      <c r="D9" s="4" t="s">
        <v>26</v>
      </c>
      <c r="E9" s="4" t="s">
        <v>18</v>
      </c>
      <c r="F9" s="5" t="s">
        <v>19</v>
      </c>
      <c r="G9" s="5"/>
      <c r="H9" s="6"/>
      <c r="I9" s="7" t="str">
        <f aca="false">IF(OR(G9="",H9=""),"",G9*H9)</f>
        <v/>
      </c>
      <c r="J9" s="8" t="s">
        <v>20</v>
      </c>
      <c r="K9" s="4" t="s">
        <v>21</v>
      </c>
      <c r="L9" s="4" t="s">
        <v>32</v>
      </c>
    </row>
    <row r="10" customFormat="false" ht="15" hidden="false" customHeight="false" outlineLevel="0" collapsed="false">
      <c r="A10" s="4" t="s">
        <v>33</v>
      </c>
      <c r="B10" s="4" t="s">
        <v>15</v>
      </c>
      <c r="C10" s="4" t="s">
        <v>34</v>
      </c>
      <c r="D10" s="4" t="s">
        <v>35</v>
      </c>
      <c r="E10" s="4" t="s">
        <v>30</v>
      </c>
      <c r="F10" s="5" t="s">
        <v>19</v>
      </c>
      <c r="G10" s="5"/>
      <c r="H10" s="6"/>
      <c r="I10" s="7" t="str">
        <f aca="false">IF(OR(G10="",H10=""),"",G10*H10)</f>
        <v/>
      </c>
      <c r="J10" s="8" t="s">
        <v>20</v>
      </c>
      <c r="K10" s="4" t="s">
        <v>21</v>
      </c>
      <c r="L10" s="4"/>
    </row>
    <row r="11" customFormat="false" ht="23.85" hidden="false" customHeight="false" outlineLevel="0" collapsed="false">
      <c r="A11" s="4" t="s">
        <v>36</v>
      </c>
      <c r="B11" s="4" t="s">
        <v>15</v>
      </c>
      <c r="C11" s="4" t="s">
        <v>37</v>
      </c>
      <c r="D11" s="4" t="s">
        <v>38</v>
      </c>
      <c r="E11" s="4" t="s">
        <v>39</v>
      </c>
      <c r="F11" s="5" t="s">
        <v>19</v>
      </c>
      <c r="G11" s="5"/>
      <c r="H11" s="6"/>
      <c r="I11" s="7" t="str">
        <f aca="false">IF(OR(G11="",H11=""),"",G11*H11)</f>
        <v/>
      </c>
      <c r="J11" s="8" t="s">
        <v>20</v>
      </c>
      <c r="K11" s="4" t="s">
        <v>21</v>
      </c>
      <c r="L11" s="4" t="s">
        <v>40</v>
      </c>
    </row>
    <row r="12" customFormat="false" ht="15" hidden="false" customHeight="false" outlineLevel="0" collapsed="false">
      <c r="A12" s="4" t="s">
        <v>41</v>
      </c>
      <c r="B12" s="4" t="s">
        <v>15</v>
      </c>
      <c r="C12" s="4" t="s">
        <v>16</v>
      </c>
      <c r="D12" s="4" t="s">
        <v>42</v>
      </c>
      <c r="E12" s="5" t="s">
        <v>24</v>
      </c>
      <c r="F12" s="5" t="s">
        <v>19</v>
      </c>
      <c r="G12" s="5"/>
      <c r="H12" s="6"/>
      <c r="I12" s="7" t="str">
        <f aca="false">IF(OR(G12="",H12=""),"",G12*H12)</f>
        <v/>
      </c>
      <c r="J12" s="8" t="s">
        <v>20</v>
      </c>
      <c r="K12" s="4" t="s">
        <v>21</v>
      </c>
      <c r="L12" s="4"/>
    </row>
    <row r="13" customFormat="false" ht="15" hidden="false" customHeight="false" outlineLevel="0" collapsed="false">
      <c r="H13" s="9" t="s">
        <v>43</v>
      </c>
      <c r="I13" s="10" t="n">
        <f aca="false">SUM(I5:I12)</f>
        <v>0</v>
      </c>
    </row>
  </sheetData>
  <autoFilter ref="A4:L12"/>
  <dataValidations count="1">
    <dataValidation allowBlank="true" errorStyle="stop" operator="between" showDropDown="false" showErrorMessage="false" showInputMessage="false" sqref="K5:K12" type="list">
      <formula1>"Pending,Approved,Ordered,Received,Installed"</formula1>
      <formula2>0</formula2>
    </dataValidation>
  </dataValidations>
  <hyperlinks>
    <hyperlink ref="J5" r:id="rId2" display="View product"/>
    <hyperlink ref="J6" r:id="rId3" display="View product"/>
    <hyperlink ref="J7" r:id="rId4" display="View product"/>
    <hyperlink ref="J8" r:id="rId5" display="View product"/>
    <hyperlink ref="J9" r:id="rId6" display="View product"/>
    <hyperlink ref="J10" r:id="rId7" display="View product"/>
    <hyperlink ref="J11" r:id="rId8" display="View product"/>
    <hyperlink ref="J12" r:id="rId9" display="View produc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"/>
  <legacy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2026-10-07T12:25:17Z</dcterms:created>
  <dc:creator>openpyxl</dc:creator>
  <dc:description/>
  <dc:language>en-US</dc:language>
  <cp:lastModifiedBy/>
  <dcterms:modified xsi:type="dcterms:W3CDTF">2026-10-07T12:25:17Z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